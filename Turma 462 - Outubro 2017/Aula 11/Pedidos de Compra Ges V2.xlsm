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.rosa\Desktop\"/>
    </mc:Choice>
  </mc:AlternateContent>
  <bookViews>
    <workbookView xWindow="0" yWindow="0" windowWidth="15360" windowHeight="7215" xr2:uid="{00000000-000D-0000-FFFF-FFFF00000000}"/>
  </bookViews>
  <sheets>
    <sheet name="FOMULÁRIO" sheetId="1" r:id="rId1"/>
    <sheet name="BANCO DE DADOS" sheetId="2" r:id="rId2"/>
    <sheet name="Planilha1" sheetId="3" r:id="rId3"/>
  </sheets>
  <definedNames>
    <definedName name="_xlnm._FilterDatabase" localSheetId="1" hidden="1">'BANCO DE DADOS'!$A$1:$Q$31</definedName>
    <definedName name="_xlnm.Print_Area" localSheetId="1">'BANCO DE DADOS'!$A$1:$L$47</definedName>
  </definedNames>
  <calcPr calcId="171027"/>
</workbook>
</file>

<file path=xl/calcChain.xml><?xml version="1.0" encoding="utf-8"?>
<calcChain xmlns="http://schemas.openxmlformats.org/spreadsheetml/2006/main">
  <c r="P2" i="2" l="1"/>
  <c r="Q3" i="2" l="1"/>
  <c r="Q4" i="2"/>
  <c r="Q5" i="2" l="1"/>
  <c r="Q6" i="2" l="1"/>
  <c r="Q7" i="2"/>
  <c r="Q8" i="2"/>
  <c r="Q9" i="2"/>
  <c r="Q10" i="2"/>
  <c r="Q11" i="2" l="1"/>
  <c r="Q12" i="2" l="1"/>
  <c r="Q13" i="2"/>
  <c r="Q14" i="2" l="1"/>
  <c r="Q15" i="2" l="1"/>
  <c r="Q16" i="2"/>
  <c r="Q17" i="2"/>
  <c r="Q18" i="2"/>
</calcChain>
</file>

<file path=xl/sharedStrings.xml><?xml version="1.0" encoding="utf-8"?>
<sst xmlns="http://schemas.openxmlformats.org/spreadsheetml/2006/main" count="177" uniqueCount="84">
  <si>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</si>
  <si>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</si>
  <si>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</si>
  <si>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</si>
  <si>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</si>
  <si>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</si>
  <si>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</si>
  <si>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</si>
  <si>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</si>
  <si>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Computador do usuario</t>
  </si>
  <si>
    <t>Total pedido</t>
  </si>
  <si>
    <t>Observações</t>
  </si>
  <si>
    <t>Recebimento Data</t>
  </si>
  <si>
    <t>Status Recebimento</t>
  </si>
  <si>
    <t>Não</t>
  </si>
  <si>
    <t>Semana do pedido</t>
  </si>
  <si>
    <t>FISCAL</t>
  </si>
  <si>
    <t>THAÍS</t>
  </si>
  <si>
    <t>Fiscal.Thais</t>
  </si>
  <si>
    <t>FISCALTHAIS-PC</t>
  </si>
  <si>
    <t>GRAMPO 26/6</t>
  </si>
  <si>
    <t>1 CAIXA</t>
  </si>
  <si>
    <t>SOLICITAÇÃO OFICIAL</t>
  </si>
  <si>
    <t xml:space="preserve">MARCA TEXTO </t>
  </si>
  <si>
    <t>THAIS</t>
  </si>
  <si>
    <t>LIXEIRA</t>
  </si>
  <si>
    <t>COLA</t>
  </si>
  <si>
    <t>DUREX</t>
  </si>
  <si>
    <t>Papel de enxugar a mao</t>
  </si>
  <si>
    <t>Thais</t>
  </si>
  <si>
    <t>USO GERAL</t>
  </si>
  <si>
    <t>Papel para enxugar as mão no banheiro.</t>
  </si>
  <si>
    <t>renata.lima</t>
  </si>
  <si>
    <t>RENATA-PC</t>
  </si>
  <si>
    <t>Post It</t>
  </si>
  <si>
    <t>Klissia</t>
  </si>
  <si>
    <t>2 Pacotes</t>
  </si>
  <si>
    <t>SOLCIITAÇÃO OFICIAL</t>
  </si>
  <si>
    <t>PLASTICO PARA A4</t>
  </si>
  <si>
    <t>SACO DE LIXO 100 LITROS</t>
  </si>
  <si>
    <t>1 PACOTE</t>
  </si>
  <si>
    <t>SACO DE LIXO 50 LITROS</t>
  </si>
  <si>
    <t>PACOTE</t>
  </si>
  <si>
    <t>PÓ DE CAFÉ</t>
  </si>
  <si>
    <t>O DE COSTUME</t>
  </si>
  <si>
    <t>FILTRO DE CAFÉ</t>
  </si>
  <si>
    <t>PAPEL TOALHA</t>
  </si>
  <si>
    <t>AÇUCAR</t>
  </si>
  <si>
    <t>PÓ DE CAFÉ E AÇUCAR</t>
  </si>
  <si>
    <t>FRANCINE</t>
  </si>
  <si>
    <t>francine.peres</t>
  </si>
  <si>
    <t>E7</t>
  </si>
  <si>
    <t>CADERNO ESPIRAL</t>
  </si>
  <si>
    <t>ALEXANDRE</t>
  </si>
  <si>
    <t>CONTABIL</t>
  </si>
  <si>
    <t>Caderno para anotações gerais</t>
  </si>
  <si>
    <t>alexandre.gescon</t>
  </si>
  <si>
    <t>C6</t>
  </si>
  <si>
    <t>Sim</t>
  </si>
  <si>
    <t>Data: 18/09/2017 10:28:04 | Usuario: Joas | JOAS</t>
  </si>
  <si>
    <t>Data: 18/09/2017 10:28:20 | Usuario: Joas | JOAS</t>
  </si>
  <si>
    <t>Data: 18/09/2017 10:28:27 | Usuario: Joas | JOAS</t>
  </si>
  <si>
    <t>Data: 18/09/2017 10:28:35 | Usuario: Joas | JOAS</t>
  </si>
  <si>
    <t>Data: 18/09/2017 10:28:48 | Usuario: Joas | JOAS</t>
  </si>
  <si>
    <t>Data: 18/09/2017 10:28:51 | Usuario: Joas | JOAS</t>
  </si>
  <si>
    <t>Data: 18/09/2017 10:28:54 | Usuario: Joas | JOAS</t>
  </si>
  <si>
    <t>Data: 18/09/2017 10:28:56 | Usuario: Joas | JOAS</t>
  </si>
  <si>
    <t>Data: 18/09/2017 10:29:00 | Usuario: Joas | JOAS</t>
  </si>
  <si>
    <t>Data: 18/09/2017 10:29:03 | Usuario: Joas | JOAS</t>
  </si>
  <si>
    <t>Data: 18/09/2017 10:29:18 | Usuario: Joas | JOAS</t>
  </si>
  <si>
    <t>Data: 18/09/2017 10:29:21 | Usuario: Joas | JOAS</t>
  </si>
  <si>
    <t>Data: 18/09/2017 10:29:27 | Usuario: Joas | JOAS</t>
  </si>
  <si>
    <t>Data: 18/09/2017 10:29:32 | Usuario: Joas | JOAS</t>
  </si>
  <si>
    <t>Data: 18/09/2017 10:29:33 | Usuario: Joas | JOAS</t>
  </si>
  <si>
    <t>Comentário Aprovação(Sim/Não)</t>
  </si>
  <si>
    <t>Não aprovado, devido solicitação repitida por outro solicitante</t>
  </si>
  <si>
    <t>não aprovado, pois as lixeiras serão padronizadas.</t>
  </si>
  <si>
    <t>Data: 18/09/2017 10:56:04 | Usuario: Joas | JOAS</t>
  </si>
  <si>
    <t>camisa</t>
  </si>
  <si>
    <t>Marcio</t>
  </si>
  <si>
    <t>CONSULTORIA</t>
  </si>
  <si>
    <t>teste</t>
  </si>
  <si>
    <t>marcio.rosa</t>
  </si>
  <si>
    <t>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</si>
</sst>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409]d/m/yy\ h:mm\ AM/PM;@"/>
    <numFmt numFmtId="167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16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166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0" fillId="2" borderId="8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167" fontId="1" fillId="0" borderId="0" xfId="1" applyNumberFormat="1" applyFont="1" applyBorder="1" applyAlignment="1">
      <alignment horizontal="left" vertical="center"/>
    </xf>
    <xf numFmtId="167" fontId="2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167" fontId="0" fillId="0" borderId="9" xfId="1" applyNumberFormat="1" applyFont="1" applyFill="1" applyBorder="1" applyAlignment="1" applyProtection="1">
      <alignment horizontal="center" vertical="center"/>
      <protection locked="0"/>
    </xf>
    <xf numFmtId="164" fontId="0" fillId="0" borderId="9" xfId="1" applyFont="1" applyFill="1" applyBorder="1" applyAlignment="1" applyProtection="1">
      <alignment horizontal="left" vertical="top" wrapText="1"/>
      <protection locked="0"/>
    </xf>
    <xf numFmtId="0" fontId="0" fillId="0" borderId="9" xfId="2" applyNumberFormat="1" applyFont="1" applyFill="1" applyBorder="1" applyAlignment="1" applyProtection="1">
      <alignment vertical="center"/>
      <protection locked="0"/>
    </xf>
    <xf numFmtId="0" fontId="2" fillId="0" borderId="0" xfId="0" applyNumberFormat="1" applyFont="1" applyFill="1" applyBorder="1" applyAlignment="1">
      <alignment horizontal="left" vertical="center" wrapText="1"/>
    </xf>
    <xf numFmtId="4" fontId="2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9" xfId="0" applyBorder="1" applyAlignment="1">
      <alignment wrapText="1"/>
    </xf>
    <xf numFmtId="0" fontId="0" fillId="0" borderId="9" xfId="0" applyBorder="1"/>
    <xf numFmtId="167" fontId="0" fillId="0" borderId="9" xfId="0" applyNumberFormat="1" applyBorder="1"/>
    <xf numFmtId="0" fontId="0" fillId="0" borderId="9" xfId="0" applyBorder="1" applyProtection="1">
      <protection locked="0"/>
    </xf>
    <xf numFmtId="14" fontId="0" fillId="0" borderId="9" xfId="0" applyNumberFormat="1" applyBorder="1" applyProtection="1"/>
    <xf numFmtId="0" fontId="0" fillId="0" borderId="9" xfId="0" applyBorder="1" applyProtection="1"/>
    <xf numFmtId="22" fontId="0" fillId="0" borderId="9" xfId="0" applyNumberFormat="1" applyBorder="1"/>
    <xf numFmtId="14" fontId="0" fillId="0" borderId="9" xfId="0" applyNumberFormat="1" applyBorder="1" applyProtection="1"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10</xdr:row>
      <xdr:rowOff>171449</xdr:rowOff>
    </xdr:from>
    <xdr:to>
      <xdr:col>4</xdr:col>
      <xdr:colOff>2105025</xdr:colOff>
      <xdr:row>12</xdr:row>
      <xdr:rowOff>380999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09B7315-6456-49F9-B2B1-5B827F008A91}"/>
            </a:ext>
          </a:extLst>
        </xdr:cNvPr>
        <xdr:cNvGrpSpPr/>
      </xdr:nvGrpSpPr>
      <xdr:grpSpPr>
        <a:xfrm>
          <a:off x="4019550" y="2619374"/>
          <a:ext cx="1400175" cy="876300"/>
          <a:chOff x="4019550" y="2619374"/>
          <a:chExt cx="1400175" cy="876300"/>
        </a:xfrm>
      </xdr:grpSpPr>
      <xdr:sp macro="[0]!GRAVA_BOTAO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319F0BE-4586-46D2-9B06-DE6696EAD982}"/>
              </a:ext>
            </a:extLst>
          </xdr:cNvPr>
          <xdr:cNvSpPr/>
        </xdr:nvSpPr>
        <xdr:spPr>
          <a:xfrm>
            <a:off x="4019550" y="2628900"/>
            <a:ext cx="1400175" cy="86677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1"/>
              <a:t>GRAVAR</a:t>
            </a:r>
          </a:p>
        </xdr:txBody>
      </xdr:sp>
      <xdr:pic macro="[0]!GRAVA_BOTAO">
        <xdr:nvPicPr>
          <xdr:cNvPr id="4" name="Imagem 3">
            <a:extLst>
              <a:ext uri="{FF2B5EF4-FFF2-40B4-BE49-F238E27FC236}">
                <a16:creationId xmlns:a16="http://schemas.microsoft.com/office/drawing/2014/main" id="{66A7F0C3-51A5-4544-8EDF-FE28EA709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57701" y="2619374"/>
            <a:ext cx="552450" cy="55245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6</xdr:col>
      <xdr:colOff>133350</xdr:colOff>
      <xdr:row>7</xdr:row>
      <xdr:rowOff>169483</xdr:rowOff>
    </xdr:from>
    <xdr:to>
      <xdr:col>13</xdr:col>
      <xdr:colOff>95250</xdr:colOff>
      <xdr:row>12</xdr:row>
      <xdr:rowOff>186074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F0A0BD7-98A3-4FD0-9C96-CDE5436A1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788733"/>
          <a:ext cx="5753100" cy="15120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565785</xdr:colOff>
      <xdr:row>21</xdr:row>
      <xdr:rowOff>26669</xdr:rowOff>
    </xdr:from>
    <xdr:to>
      <xdr:col>21</xdr:col>
      <xdr:colOff>17145</xdr:colOff>
      <xdr:row>24</xdr:row>
      <xdr:rowOff>205740</xdr:rowOff>
    </xdr:to>
    <xdr:sp macro="" textlink="">
      <xdr:nvSpPr>
        <xdr:cNvPr id="2" name="Balão de Fala: Oval 1">
          <a:extLst>
            <a:ext uri="{FF2B5EF4-FFF2-40B4-BE49-F238E27FC236}">
              <a16:creationId xmlns:a16="http://schemas.microsoft.com/office/drawing/2014/main" id="{FE6AF243-6671-4383-97C9-B37FF0D41958}"/>
            </a:ext>
          </a:extLst>
        </xdr:cNvPr>
        <xdr:cNvSpPr/>
      </xdr:nvSpPr>
      <xdr:spPr>
        <a:xfrm>
          <a:off x="22099905" y="499109"/>
          <a:ext cx="1325880" cy="887731"/>
        </a:xfrm>
        <a:prstGeom prst="wedgeEllipseCallout">
          <a:avLst>
            <a:gd name="adj1" fmla="val -39583"/>
            <a:gd name="adj2" fmla="val 842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CTRL+S</a:t>
          </a:r>
          <a:r>
            <a:rPr lang="pt-BR" sz="1100" baseline="0"/>
            <a:t>  para tela nortmal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</xdr:row>
      <xdr:rowOff>152400</xdr:rowOff>
    </xdr:from>
    <xdr:to>
      <xdr:col>5</xdr:col>
      <xdr:colOff>104775</xdr:colOff>
      <xdr:row>8</xdr:row>
      <xdr:rowOff>57150</xdr:rowOff>
    </xdr:to>
    <xdr:sp macro="[0]!Enviar_email" textlink="">
      <xdr:nvSpPr>
        <xdr:cNvPr id="2" name="Seta: Divisa 1">
          <a:extLst>
            <a:ext uri="{FF2B5EF4-FFF2-40B4-BE49-F238E27FC236}">
              <a16:creationId xmlns:a16="http://schemas.microsoft.com/office/drawing/2014/main" id="{2F274507-6FEF-482B-82A9-02F1BC774D87}"/>
            </a:ext>
          </a:extLst>
        </xdr:cNvPr>
        <xdr:cNvSpPr/>
      </xdr:nvSpPr>
      <xdr:spPr>
        <a:xfrm>
          <a:off x="2238375" y="533400"/>
          <a:ext cx="914400" cy="1047750"/>
        </a:xfrm>
        <a:prstGeom prst="chevron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zoomScaleNormal="100" workbookViewId="0">
      <selection activeCell="B2" sqref="B2"/>
    </sheetView>
  </sheetViews>
  <sheetFormatPr defaultColWidth="13.7109375" defaultRowHeight="21.75" customHeight="1" x14ac:dyDescent="0.25"/>
  <cols>
    <col min="1" max="1" width="4.5703125" style="8" customWidth="1"/>
    <col min="2" max="2" width="2.42578125" style="8" customWidth="1"/>
    <col min="3" max="3" width="41.5703125" style="8" customWidth="1"/>
    <col min="4" max="4" width="1.140625" style="8" customWidth="1"/>
    <col min="5" max="5" width="35" style="8" customWidth="1"/>
    <col min="6" max="6" width="2.42578125" style="8" customWidth="1"/>
    <col min="7" max="7" width="4.5703125" style="8" customWidth="1"/>
    <col min="8" max="16384" width="13.7109375" style="8"/>
  </cols>
  <sheetData>
    <row r="1" spans="2:6" ht="21.75" customHeight="1" thickBot="1" x14ac:dyDescent="0.3"/>
    <row r="2" spans="2:6" ht="12" customHeight="1" x14ac:dyDescent="0.25">
      <c r="B2" s="9"/>
      <c r="C2" s="10"/>
      <c r="D2" s="10"/>
      <c r="E2" s="10"/>
      <c r="F2" s="11"/>
    </row>
    <row r="3" spans="2:6" ht="21.75" customHeight="1" x14ac:dyDescent="0.25">
      <c r="B3" s="12"/>
      <c r="C3" s="13" t="s">
        <v>0</v>
      </c>
      <c r="D3" s="13"/>
      <c r="E3" s="13"/>
      <c r="F3" s="14"/>
    </row>
    <row r="4" spans="2:6" ht="21.75" customHeight="1" x14ac:dyDescent="0.25">
      <c r="B4" s="12"/>
      <c r="C4" s="36"/>
      <c r="D4" s="36"/>
      <c r="E4" s="36"/>
      <c r="F4" s="14"/>
    </row>
    <row r="5" spans="2:6" ht="6.75" customHeight="1" x14ac:dyDescent="0.25">
      <c r="B5" s="12"/>
      <c r="C5" s="13"/>
      <c r="D5" s="13"/>
      <c r="E5" s="13"/>
      <c r="F5" s="14"/>
    </row>
    <row r="6" spans="2:6" ht="21.75" customHeight="1" x14ac:dyDescent="0.25">
      <c r="B6" s="12"/>
      <c r="C6" s="13" t="s">
        <v>1</v>
      </c>
      <c r="D6" s="13"/>
      <c r="E6" s="13" t="s">
        <v>2</v>
      </c>
      <c r="F6" s="14"/>
    </row>
    <row r="7" spans="2:6" ht="21.75" customHeight="1" x14ac:dyDescent="0.25">
      <c r="B7" s="12"/>
      <c r="C7" s="22">
        <v>0</v>
      </c>
      <c r="D7" s="13"/>
      <c r="E7" s="24"/>
      <c r="F7" s="14"/>
    </row>
    <row r="8" spans="2:6" ht="21.75" customHeight="1" x14ac:dyDescent="0.25">
      <c r="B8" s="12"/>
      <c r="C8" s="13" t="s">
        <v>4</v>
      </c>
      <c r="D8" s="13"/>
      <c r="E8" s="13" t="s">
        <v>5</v>
      </c>
      <c r="F8" s="14"/>
    </row>
    <row r="9" spans="2:6" ht="21.75" customHeight="1" x14ac:dyDescent="0.25">
      <c r="B9" s="12"/>
      <c r="C9" s="4"/>
      <c r="D9" s="13"/>
      <c r="E9" s="4"/>
      <c r="F9" s="14"/>
    </row>
    <row r="10" spans="2:6" ht="21.75" customHeight="1" x14ac:dyDescent="0.25">
      <c r="B10" s="12"/>
      <c r="C10" s="13" t="s">
        <v>11</v>
      </c>
      <c r="D10" s="13"/>
      <c r="E10" s="13"/>
      <c r="F10" s="14"/>
    </row>
    <row r="11" spans="2:6" ht="42" customHeight="1" x14ac:dyDescent="0.25">
      <c r="B11" s="12"/>
      <c r="C11" s="23"/>
      <c r="D11" s="13"/>
      <c r="E11" s="13"/>
      <c r="F11" s="14"/>
    </row>
    <row r="12" spans="2:6" ht="10.5" customHeight="1" x14ac:dyDescent="0.25">
      <c r="B12" s="12"/>
      <c r="C12" s="13"/>
      <c r="D12" s="13"/>
      <c r="E12" s="13"/>
      <c r="F12" s="14"/>
    </row>
    <row r="13" spans="2:6" ht="50.25" customHeight="1" thickBot="1" x14ac:dyDescent="0.3">
      <c r="B13" s="15"/>
      <c r="C13" s="16"/>
      <c r="D13" s="16"/>
      <c r="E13" s="16"/>
      <c r="F13" s="17"/>
    </row>
  </sheetData>
  <sheetProtection algorithmName="SHA-512" hashValue="HFhSIwyrkZUdYX6cACW6zgRFBDKnydi8ECWHsUNgjZyq7KsqvkLclim7BxQB0EK3ZjMJjpK+GblUls+4+Xs4bg==" saltValue="mAD+8sS2kh8E0v+X7JNIkg==" spinCount="100000" sheet="1" objects="1" scenarios="1"/>
  <mergeCells count="1">
    <mergeCell ref="C4:E4"/>
  </mergeCells>
  <dataValidations count="1">
    <dataValidation type="list" allowBlank="1" showInputMessage="1" showErrorMessage="1" sqref="E9" xr:uid="{00000000-0002-0000-0000-000000000000}">
      <formula1>"CONTABIL,CONSULTORIA,DIRETORIA,DEP. PESSOAL,FISCAL,FINANCEIRO,LEGALIZAÇÃO,USO GERAL"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Q31"/>
  <sheetViews>
    <sheetView showRowColHeaders="0" topLeftCell="M1" zoomScaleNormal="100" workbookViewId="0">
      <selection activeCell="P7" sqref="P7"/>
    </sheetView>
  </sheetViews>
  <sheetFormatPr defaultColWidth="9.140625" defaultRowHeight="18.75" customHeight="1" x14ac:dyDescent="0.25"/>
  <cols>
    <col min="1" max="1" width="2.5703125" style="2" customWidth="1"/>
    <col min="2" max="2" width="22.42578125" style="27" customWidth="1"/>
    <col min="3" max="3" width="15.140625" style="3" bestFit="1" customWidth="1"/>
    <col min="4" max="4" width="9.28515625" style="19" bestFit="1" customWidth="1"/>
    <col min="5" max="5" width="16.7109375" style="6" bestFit="1" customWidth="1"/>
    <col min="6" max="6" width="14.5703125" style="1" bestFit="1" customWidth="1"/>
    <col min="7" max="7" width="13.7109375" style="1" bestFit="1" customWidth="1"/>
    <col min="8" max="8" width="20" style="7" customWidth="1"/>
    <col min="9" max="9" width="24.42578125" style="5" bestFit="1" customWidth="1"/>
    <col min="10" max="10" width="14.42578125" style="20" bestFit="1" customWidth="1"/>
    <col min="11" max="11" width="48.7109375" style="26" customWidth="1"/>
    <col min="12" max="12" width="14.7109375" style="18" bestFit="1" customWidth="1"/>
    <col min="13" max="13" width="49.42578125" style="6" bestFit="1" customWidth="1"/>
    <col min="14" max="14" width="34.28515625" style="25" customWidth="1"/>
    <col min="15" max="15" width="19.85546875" style="21" bestFit="1" customWidth="1"/>
    <col min="16" max="16" width="21.28515625" style="18" bestFit="1" customWidth="1"/>
    <col min="17" max="17" width="22.85546875" style="18" bestFit="1" customWidth="1"/>
    <col min="18" max="18" width="2.42578125" style="1" customWidth="1"/>
    <col min="19" max="26" width="9.140625" style="1"/>
    <col min="27" max="27" width="11.42578125" style="1" bestFit="1" customWidth="1"/>
    <col min="28" max="16384" width="9.140625" style="1"/>
  </cols>
  <sheetData>
    <row r="1" spans="2:17" customFormat="1" ht="18.75" customHeight="1" x14ac:dyDescent="0.25">
      <c r="B1" s="28" t="s">
        <v>0</v>
      </c>
      <c r="C1" s="29" t="s">
        <v>2</v>
      </c>
      <c r="D1" s="30" t="s">
        <v>1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9</v>
      </c>
      <c r="J1" s="30" t="s">
        <v>10</v>
      </c>
      <c r="K1" s="28" t="s">
        <v>11</v>
      </c>
      <c r="L1" s="31" t="s">
        <v>7</v>
      </c>
      <c r="M1" s="29" t="s">
        <v>8</v>
      </c>
      <c r="N1" s="28" t="s">
        <v>74</v>
      </c>
      <c r="O1" s="32" t="s">
        <v>12</v>
      </c>
      <c r="P1" s="33" t="s">
        <v>13</v>
      </c>
      <c r="Q1" s="33" t="s">
        <v>15</v>
      </c>
    </row>
    <row r="2" spans="2:17" customFormat="1" ht="18.75" customHeight="1" x14ac:dyDescent="0.25">
      <c r="B2" s="28" t="s">
        <v>78</v>
      </c>
      <c r="C2" s="29">
        <v>3</v>
      </c>
      <c r="D2" s="30">
        <v>56</v>
      </c>
      <c r="E2" s="29" t="s">
        <v>82</v>
      </c>
      <c r="F2" s="29" t="s">
        <v>79</v>
      </c>
      <c r="G2" s="29" t="s">
        <v>80</v>
      </c>
      <c r="H2" s="34">
        <v>43081.915567129632</v>
      </c>
      <c r="I2" s="29" t="s">
        <v>83</v>
      </c>
      <c r="J2" s="30"/>
      <c r="K2" s="28" t="s">
        <v>81</v>
      </c>
      <c r="L2" s="31"/>
      <c r="M2" s="29"/>
      <c r="N2" s="28"/>
      <c r="O2" s="32" t="s">
        <v>14</v>
      </c>
      <c r="P2" s="33">
        <f>WEEKNUM(H2,1)</f>
        <v>50</v>
      </c>
      <c r="Q2" s="33"/>
    </row>
    <row r="3" spans="2:17" customFormat="1" ht="18.75" customHeight="1" x14ac:dyDescent="0.25">
      <c r="B3" s="28" t="s">
        <v>52</v>
      </c>
      <c r="C3" s="29">
        <v>1</v>
      </c>
      <c r="D3" s="30">
        <v>0</v>
      </c>
      <c r="E3" s="29" t="s">
        <v>56</v>
      </c>
      <c r="F3" s="29" t="s">
        <v>53</v>
      </c>
      <c r="G3" s="29" t="s">
        <v>54</v>
      </c>
      <c r="H3" s="34">
        <v>42996.398981481485</v>
      </c>
      <c r="I3" s="29" t="s">
        <v>57</v>
      </c>
      <c r="J3" s="30"/>
      <c r="K3" s="28" t="s">
        <v>55</v>
      </c>
      <c r="L3" s="31" t="s">
        <v>58</v>
      </c>
      <c r="M3" s="29" t="s">
        <v>59</v>
      </c>
      <c r="N3" s="28"/>
      <c r="O3" s="32"/>
      <c r="P3" s="33" t="s">
        <v>14</v>
      </c>
      <c r="Q3" s="33">
        <f>WEEKNUM(H3,1)</f>
        <v>38</v>
      </c>
    </row>
    <row r="4" spans="2:17" customFormat="1" ht="18.75" customHeight="1" x14ac:dyDescent="0.25">
      <c r="B4" s="28" t="s">
        <v>48</v>
      </c>
      <c r="C4" s="29"/>
      <c r="D4" s="30">
        <v>0</v>
      </c>
      <c r="E4" s="29" t="s">
        <v>50</v>
      </c>
      <c r="F4" s="29" t="s">
        <v>49</v>
      </c>
      <c r="G4" s="29" t="s">
        <v>30</v>
      </c>
      <c r="H4" s="34">
        <v>42996.378634259258</v>
      </c>
      <c r="I4" s="29" t="s">
        <v>51</v>
      </c>
      <c r="J4" s="30"/>
      <c r="K4" s="28"/>
      <c r="L4" s="31" t="s">
        <v>14</v>
      </c>
      <c r="M4" s="29" t="s">
        <v>60</v>
      </c>
      <c r="N4" s="28" t="s">
        <v>75</v>
      </c>
      <c r="O4" s="32"/>
      <c r="P4" s="33" t="s">
        <v>14</v>
      </c>
      <c r="Q4" s="33">
        <f>WEEKNUM(H4,1)</f>
        <v>38</v>
      </c>
    </row>
    <row r="5" spans="2:17" customFormat="1" ht="18.75" customHeight="1" x14ac:dyDescent="0.25">
      <c r="B5" s="28" t="s">
        <v>47</v>
      </c>
      <c r="C5" s="29" t="s">
        <v>44</v>
      </c>
      <c r="D5" s="30">
        <v>0</v>
      </c>
      <c r="E5" s="29" t="s">
        <v>18</v>
      </c>
      <c r="F5" s="29" t="s">
        <v>24</v>
      </c>
      <c r="G5" s="29" t="s">
        <v>30</v>
      </c>
      <c r="H5" s="34">
        <v>42992.672442129631</v>
      </c>
      <c r="I5" s="29" t="s">
        <v>19</v>
      </c>
      <c r="J5" s="30"/>
      <c r="K5" s="28"/>
      <c r="L5" s="31" t="s">
        <v>58</v>
      </c>
      <c r="M5" s="29" t="s">
        <v>61</v>
      </c>
      <c r="N5" s="28"/>
      <c r="O5" s="32"/>
      <c r="P5" s="33" t="s">
        <v>14</v>
      </c>
      <c r="Q5" s="33">
        <f>WEEKNUM(H5,1)</f>
        <v>37</v>
      </c>
    </row>
    <row r="6" spans="2:17" customFormat="1" ht="18.75" customHeight="1" x14ac:dyDescent="0.25">
      <c r="B6" s="28" t="s">
        <v>46</v>
      </c>
      <c r="C6" s="29" t="s">
        <v>44</v>
      </c>
      <c r="D6" s="30">
        <v>0</v>
      </c>
      <c r="E6" s="29" t="s">
        <v>18</v>
      </c>
      <c r="F6" s="29" t="s">
        <v>24</v>
      </c>
      <c r="G6" s="29" t="s">
        <v>30</v>
      </c>
      <c r="H6" s="34">
        <v>42992.669328703705</v>
      </c>
      <c r="I6" s="29" t="s">
        <v>19</v>
      </c>
      <c r="J6" s="30"/>
      <c r="K6" s="28"/>
      <c r="L6" s="31" t="s">
        <v>58</v>
      </c>
      <c r="M6" s="29" t="s">
        <v>62</v>
      </c>
      <c r="N6" s="28"/>
      <c r="O6" s="32"/>
      <c r="P6" s="33" t="s">
        <v>14</v>
      </c>
      <c r="Q6" s="33">
        <f t="shared" ref="Q6:Q14" si="0">WEEKNUM(H6,1)</f>
        <v>37</v>
      </c>
    </row>
    <row r="7" spans="2:17" customFormat="1" ht="18.75" customHeight="1" x14ac:dyDescent="0.25">
      <c r="B7" s="28" t="s">
        <v>45</v>
      </c>
      <c r="C7" s="29" t="s">
        <v>44</v>
      </c>
      <c r="D7" s="30">
        <v>0</v>
      </c>
      <c r="E7" s="29" t="s">
        <v>18</v>
      </c>
      <c r="F7" s="29" t="s">
        <v>24</v>
      </c>
      <c r="G7" s="29" t="s">
        <v>30</v>
      </c>
      <c r="H7" s="34">
        <v>42992.669120370374</v>
      </c>
      <c r="I7" s="29" t="s">
        <v>19</v>
      </c>
      <c r="J7" s="30"/>
      <c r="K7" s="28"/>
      <c r="L7" s="31" t="s">
        <v>58</v>
      </c>
      <c r="M7" s="29" t="s">
        <v>63</v>
      </c>
      <c r="N7" s="28"/>
      <c r="O7" s="32"/>
      <c r="P7" s="33" t="s">
        <v>14</v>
      </c>
      <c r="Q7" s="33">
        <f t="shared" si="0"/>
        <v>37</v>
      </c>
    </row>
    <row r="8" spans="2:17" customFormat="1" ht="18.75" customHeight="1" x14ac:dyDescent="0.25">
      <c r="B8" s="28" t="s">
        <v>43</v>
      </c>
      <c r="C8" s="29" t="s">
        <v>44</v>
      </c>
      <c r="D8" s="30">
        <v>0</v>
      </c>
      <c r="E8" s="29" t="s">
        <v>18</v>
      </c>
      <c r="F8" s="29" t="s">
        <v>24</v>
      </c>
      <c r="G8" s="29" t="s">
        <v>30</v>
      </c>
      <c r="H8" s="34">
        <v>42992.668483796297</v>
      </c>
      <c r="I8" s="29" t="s">
        <v>19</v>
      </c>
      <c r="J8" s="30"/>
      <c r="K8" s="28"/>
      <c r="L8" s="31" t="s">
        <v>58</v>
      </c>
      <c r="M8" s="29" t="s">
        <v>64</v>
      </c>
      <c r="N8" s="28"/>
      <c r="O8" s="32"/>
      <c r="P8" s="33" t="s">
        <v>14</v>
      </c>
      <c r="Q8" s="33">
        <f t="shared" si="0"/>
        <v>37</v>
      </c>
    </row>
    <row r="9" spans="2:17" customFormat="1" ht="18.75" customHeight="1" x14ac:dyDescent="0.25">
      <c r="B9" s="28" t="s">
        <v>41</v>
      </c>
      <c r="C9" s="29" t="s">
        <v>42</v>
      </c>
      <c r="D9" s="30">
        <v>0</v>
      </c>
      <c r="E9" s="29" t="s">
        <v>18</v>
      </c>
      <c r="F9" s="29" t="s">
        <v>24</v>
      </c>
      <c r="G9" s="29" t="s">
        <v>30</v>
      </c>
      <c r="H9" s="34">
        <v>42992.667928240742</v>
      </c>
      <c r="I9" s="29" t="s">
        <v>19</v>
      </c>
      <c r="J9" s="30"/>
      <c r="K9" s="28"/>
      <c r="L9" s="31" t="s">
        <v>58</v>
      </c>
      <c r="M9" s="29" t="s">
        <v>65</v>
      </c>
      <c r="N9" s="28"/>
      <c r="O9" s="32"/>
      <c r="P9" s="33" t="s">
        <v>14</v>
      </c>
      <c r="Q9" s="33">
        <f t="shared" si="0"/>
        <v>37</v>
      </c>
    </row>
    <row r="10" spans="2:17" customFormat="1" ht="18.75" customHeight="1" x14ac:dyDescent="0.25">
      <c r="B10" s="28" t="s">
        <v>39</v>
      </c>
      <c r="C10" s="29" t="s">
        <v>40</v>
      </c>
      <c r="D10" s="30">
        <v>0</v>
      </c>
      <c r="E10" s="29" t="s">
        <v>18</v>
      </c>
      <c r="F10" s="29" t="s">
        <v>24</v>
      </c>
      <c r="G10" s="29" t="s">
        <v>30</v>
      </c>
      <c r="H10" s="34">
        <v>42992.667638888888</v>
      </c>
      <c r="I10" s="29" t="s">
        <v>19</v>
      </c>
      <c r="J10" s="30"/>
      <c r="K10" s="28"/>
      <c r="L10" s="31" t="s">
        <v>58</v>
      </c>
      <c r="M10" s="29" t="s">
        <v>66</v>
      </c>
      <c r="N10" s="28"/>
      <c r="O10" s="32"/>
      <c r="P10" s="33" t="s">
        <v>14</v>
      </c>
      <c r="Q10" s="33">
        <f t="shared" si="0"/>
        <v>37</v>
      </c>
    </row>
    <row r="11" spans="2:17" customFormat="1" ht="18.75" customHeight="1" x14ac:dyDescent="0.25">
      <c r="B11" s="28" t="s">
        <v>38</v>
      </c>
      <c r="C11" s="29" t="s">
        <v>21</v>
      </c>
      <c r="D11" s="30">
        <v>0</v>
      </c>
      <c r="E11" s="29" t="s">
        <v>18</v>
      </c>
      <c r="F11" s="29" t="s">
        <v>24</v>
      </c>
      <c r="G11" s="29" t="s">
        <v>16</v>
      </c>
      <c r="H11" s="34">
        <v>42992.603877314818</v>
      </c>
      <c r="I11" s="29" t="s">
        <v>19</v>
      </c>
      <c r="J11" s="30"/>
      <c r="K11" s="28" t="s">
        <v>37</v>
      </c>
      <c r="L11" s="31" t="s">
        <v>58</v>
      </c>
      <c r="M11" s="29" t="s">
        <v>67</v>
      </c>
      <c r="N11" s="28"/>
      <c r="O11" s="32"/>
      <c r="P11" s="33" t="s">
        <v>14</v>
      </c>
      <c r="Q11" s="33">
        <f t="shared" si="0"/>
        <v>37</v>
      </c>
    </row>
    <row r="12" spans="2:17" customFormat="1" ht="18.75" customHeight="1" x14ac:dyDescent="0.25">
      <c r="B12" s="28" t="s">
        <v>34</v>
      </c>
      <c r="C12" s="29">
        <v>2</v>
      </c>
      <c r="D12" s="30">
        <v>0</v>
      </c>
      <c r="E12" s="29" t="s">
        <v>32</v>
      </c>
      <c r="F12" s="29" t="s">
        <v>35</v>
      </c>
      <c r="G12" s="29" t="s">
        <v>30</v>
      </c>
      <c r="H12" s="34">
        <v>42992.554259259261</v>
      </c>
      <c r="I12" s="29" t="s">
        <v>33</v>
      </c>
      <c r="J12" s="30"/>
      <c r="K12" s="28" t="s">
        <v>36</v>
      </c>
      <c r="L12" s="31" t="s">
        <v>58</v>
      </c>
      <c r="M12" s="29" t="s">
        <v>68</v>
      </c>
      <c r="N12" s="28"/>
      <c r="O12" s="32"/>
      <c r="P12" s="33" t="s">
        <v>14</v>
      </c>
      <c r="Q12" s="33">
        <f t="shared" si="0"/>
        <v>37</v>
      </c>
    </row>
    <row r="13" spans="2:17" customFormat="1" ht="18.75" customHeight="1" x14ac:dyDescent="0.25">
      <c r="B13" s="28" t="s">
        <v>28</v>
      </c>
      <c r="C13" s="29">
        <v>1</v>
      </c>
      <c r="D13" s="30">
        <v>0</v>
      </c>
      <c r="E13" s="29" t="s">
        <v>32</v>
      </c>
      <c r="F13" s="29" t="s">
        <v>29</v>
      </c>
      <c r="G13" s="29" t="s">
        <v>30</v>
      </c>
      <c r="H13" s="34">
        <v>42992.553391203706</v>
      </c>
      <c r="I13" s="29" t="s">
        <v>33</v>
      </c>
      <c r="J13" s="30"/>
      <c r="K13" s="28" t="s">
        <v>31</v>
      </c>
      <c r="L13" s="31" t="s">
        <v>58</v>
      </c>
      <c r="M13" s="29" t="s">
        <v>77</v>
      </c>
      <c r="N13" s="28"/>
      <c r="O13" s="32"/>
      <c r="P13" s="33" t="s">
        <v>14</v>
      </c>
      <c r="Q13" s="33">
        <f t="shared" si="0"/>
        <v>37</v>
      </c>
    </row>
    <row r="14" spans="2:17" customFormat="1" ht="18.75" customHeight="1" x14ac:dyDescent="0.25">
      <c r="B14" s="28" t="s">
        <v>27</v>
      </c>
      <c r="C14" s="29">
        <v>3</v>
      </c>
      <c r="D14" s="30">
        <v>0</v>
      </c>
      <c r="E14" s="29" t="s">
        <v>18</v>
      </c>
      <c r="F14" s="29" t="s">
        <v>24</v>
      </c>
      <c r="G14" s="29" t="s">
        <v>16</v>
      </c>
      <c r="H14" s="34">
        <v>42992.554583333331</v>
      </c>
      <c r="I14" s="29" t="s">
        <v>19</v>
      </c>
      <c r="J14" s="30"/>
      <c r="K14" s="28" t="s">
        <v>22</v>
      </c>
      <c r="L14" s="31" t="s">
        <v>58</v>
      </c>
      <c r="M14" s="29" t="s">
        <v>69</v>
      </c>
      <c r="N14" s="28"/>
      <c r="O14" s="32"/>
      <c r="P14" s="33" t="s">
        <v>14</v>
      </c>
      <c r="Q14" s="33">
        <f t="shared" si="0"/>
        <v>37</v>
      </c>
    </row>
    <row r="15" spans="2:17" customFormat="1" ht="18.75" customHeight="1" x14ac:dyDescent="0.25">
      <c r="B15" s="28" t="s">
        <v>26</v>
      </c>
      <c r="C15" s="29">
        <v>2</v>
      </c>
      <c r="D15" s="30">
        <v>0</v>
      </c>
      <c r="E15" s="29" t="s">
        <v>18</v>
      </c>
      <c r="F15" s="29" t="s">
        <v>24</v>
      </c>
      <c r="G15" s="29" t="s">
        <v>16</v>
      </c>
      <c r="H15" s="34">
        <v>42992.552673611113</v>
      </c>
      <c r="I15" s="29" t="s">
        <v>19</v>
      </c>
      <c r="J15" s="30"/>
      <c r="K15" s="28" t="s">
        <v>22</v>
      </c>
      <c r="L15" s="31" t="s">
        <v>58</v>
      </c>
      <c r="M15" s="29" t="s">
        <v>70</v>
      </c>
      <c r="N15" s="28"/>
      <c r="O15" s="32"/>
      <c r="P15" s="33" t="s">
        <v>14</v>
      </c>
      <c r="Q15" s="33">
        <f t="shared" ref="Q15:Q18" si="1">WEEKNUM(H15,1)</f>
        <v>37</v>
      </c>
    </row>
    <row r="16" spans="2:17" customFormat="1" ht="18.75" customHeight="1" x14ac:dyDescent="0.25">
      <c r="B16" s="28" t="s">
        <v>25</v>
      </c>
      <c r="C16" s="29">
        <v>2</v>
      </c>
      <c r="D16" s="30">
        <v>0</v>
      </c>
      <c r="E16" s="29" t="s">
        <v>18</v>
      </c>
      <c r="F16" s="29" t="s">
        <v>24</v>
      </c>
      <c r="G16" s="29" t="s">
        <v>16</v>
      </c>
      <c r="H16" s="34">
        <v>42992.551898148151</v>
      </c>
      <c r="I16" s="29" t="s">
        <v>19</v>
      </c>
      <c r="J16" s="30"/>
      <c r="K16" s="28" t="s">
        <v>22</v>
      </c>
      <c r="L16" s="31" t="s">
        <v>14</v>
      </c>
      <c r="M16" s="29" t="s">
        <v>71</v>
      </c>
      <c r="N16" s="28" t="s">
        <v>76</v>
      </c>
      <c r="O16" s="32"/>
      <c r="P16" s="33" t="s">
        <v>14</v>
      </c>
      <c r="Q16" s="33">
        <f t="shared" si="1"/>
        <v>37</v>
      </c>
    </row>
    <row r="17" spans="2:17" customFormat="1" ht="18.75" customHeight="1" x14ac:dyDescent="0.25">
      <c r="B17" s="28" t="s">
        <v>23</v>
      </c>
      <c r="C17" s="29" t="s">
        <v>21</v>
      </c>
      <c r="D17" s="30">
        <v>0</v>
      </c>
      <c r="E17" s="29" t="s">
        <v>18</v>
      </c>
      <c r="F17" s="29" t="s">
        <v>24</v>
      </c>
      <c r="G17" s="29" t="s">
        <v>16</v>
      </c>
      <c r="H17" s="34">
        <v>42992.550625000003</v>
      </c>
      <c r="I17" s="29" t="s">
        <v>19</v>
      </c>
      <c r="J17" s="30"/>
      <c r="K17" s="28" t="s">
        <v>22</v>
      </c>
      <c r="L17" s="31" t="s">
        <v>58</v>
      </c>
      <c r="M17" s="29" t="s">
        <v>72</v>
      </c>
      <c r="N17" s="28"/>
      <c r="O17" s="32"/>
      <c r="P17" s="33" t="s">
        <v>14</v>
      </c>
      <c r="Q17" s="33">
        <f t="shared" si="1"/>
        <v>37</v>
      </c>
    </row>
    <row r="18" spans="2:17" customFormat="1" ht="18.75" customHeight="1" x14ac:dyDescent="0.25">
      <c r="B18" s="28" t="s">
        <v>20</v>
      </c>
      <c r="C18" s="29" t="s">
        <v>21</v>
      </c>
      <c r="D18" s="30">
        <v>0</v>
      </c>
      <c r="E18" s="29" t="s">
        <v>18</v>
      </c>
      <c r="F18" s="29" t="s">
        <v>17</v>
      </c>
      <c r="G18" s="29" t="s">
        <v>16</v>
      </c>
      <c r="H18" s="34">
        <v>42992.550196759257</v>
      </c>
      <c r="I18" s="29" t="s">
        <v>19</v>
      </c>
      <c r="J18" s="30"/>
      <c r="K18" s="28" t="s">
        <v>22</v>
      </c>
      <c r="L18" s="31" t="s">
        <v>58</v>
      </c>
      <c r="M18" s="29" t="s">
        <v>73</v>
      </c>
      <c r="N18" s="28"/>
      <c r="O18" s="32"/>
      <c r="P18" s="33" t="s">
        <v>14</v>
      </c>
      <c r="Q18" s="33">
        <f t="shared" si="1"/>
        <v>37</v>
      </c>
    </row>
    <row r="19" spans="2:17" customFormat="1" ht="18.75" customHeight="1" x14ac:dyDescent="0.25">
      <c r="B19" s="28"/>
      <c r="C19" s="29"/>
      <c r="D19" s="30"/>
      <c r="E19" s="29"/>
      <c r="F19" s="29"/>
      <c r="G19" s="29"/>
      <c r="H19" s="34"/>
      <c r="I19" s="29"/>
      <c r="J19" s="30"/>
      <c r="K19" s="28"/>
      <c r="L19" s="31"/>
      <c r="M19" s="29"/>
      <c r="N19" s="28"/>
      <c r="O19" s="32"/>
      <c r="P19" s="33"/>
      <c r="Q19" s="33"/>
    </row>
    <row r="20" spans="2:17" customFormat="1" ht="18.75" customHeight="1" x14ac:dyDescent="0.25">
      <c r="B20" s="28"/>
      <c r="C20" s="29"/>
      <c r="D20" s="30"/>
      <c r="E20" s="29"/>
      <c r="F20" s="29"/>
      <c r="G20" s="29"/>
      <c r="H20" s="34"/>
      <c r="I20" s="29"/>
      <c r="J20" s="30"/>
      <c r="K20" s="28"/>
      <c r="L20" s="31"/>
      <c r="M20" s="29"/>
      <c r="N20" s="28"/>
      <c r="O20" s="32"/>
      <c r="P20" s="33"/>
      <c r="Q20" s="33"/>
    </row>
    <row r="21" spans="2:17" customFormat="1" ht="18.75" customHeight="1" x14ac:dyDescent="0.25">
      <c r="B21" s="28"/>
      <c r="C21" s="29"/>
      <c r="D21" s="30"/>
      <c r="E21" s="29"/>
      <c r="F21" s="29"/>
      <c r="G21" s="29"/>
      <c r="H21" s="34"/>
      <c r="I21" s="29"/>
      <c r="J21" s="30"/>
      <c r="K21" s="28"/>
      <c r="L21" s="31"/>
      <c r="M21" s="29"/>
      <c r="N21" s="28"/>
      <c r="O21" s="32"/>
      <c r="P21" s="33"/>
      <c r="Q21" s="33"/>
    </row>
    <row r="22" spans="2:17" customFormat="1" ht="18.75" customHeight="1" x14ac:dyDescent="0.25">
      <c r="B22" s="28"/>
      <c r="C22" s="29"/>
      <c r="D22" s="30"/>
      <c r="E22" s="29"/>
      <c r="F22" s="29"/>
      <c r="G22" s="29"/>
      <c r="H22" s="34"/>
      <c r="I22" s="29"/>
      <c r="J22" s="30"/>
      <c r="K22" s="28"/>
      <c r="L22" s="31"/>
      <c r="M22" s="29"/>
      <c r="N22" s="28"/>
      <c r="O22" s="32"/>
      <c r="P22" s="33"/>
      <c r="Q22" s="33"/>
    </row>
    <row r="23" spans="2:17" customFormat="1" ht="18.75" customHeight="1" x14ac:dyDescent="0.25">
      <c r="B23" s="28"/>
      <c r="C23" s="29"/>
      <c r="D23" s="30"/>
      <c r="E23" s="29"/>
      <c r="F23" s="29"/>
      <c r="G23" s="29"/>
      <c r="H23" s="34"/>
      <c r="I23" s="29"/>
      <c r="J23" s="30"/>
      <c r="K23" s="28"/>
      <c r="L23" s="31"/>
      <c r="M23" s="29"/>
      <c r="N23" s="28"/>
      <c r="O23" s="32"/>
      <c r="P23" s="33"/>
      <c r="Q23" s="33"/>
    </row>
    <row r="24" spans="2:17" customFormat="1" ht="18.75" customHeight="1" x14ac:dyDescent="0.25">
      <c r="B24" s="28"/>
      <c r="C24" s="29"/>
      <c r="D24" s="30"/>
      <c r="E24" s="29"/>
      <c r="F24" s="29"/>
      <c r="G24" s="29"/>
      <c r="H24" s="34"/>
      <c r="I24" s="29"/>
      <c r="J24" s="30"/>
      <c r="K24" s="28"/>
      <c r="L24" s="31"/>
      <c r="M24" s="29"/>
      <c r="N24" s="28"/>
      <c r="O24" s="32"/>
      <c r="P24" s="33"/>
      <c r="Q24" s="33"/>
    </row>
    <row r="25" spans="2:17" customFormat="1" ht="18.75" customHeight="1" x14ac:dyDescent="0.25">
      <c r="B25" s="28"/>
      <c r="C25" s="29"/>
      <c r="D25" s="30"/>
      <c r="E25" s="29"/>
      <c r="F25" s="29"/>
      <c r="G25" s="29"/>
      <c r="H25" s="34"/>
      <c r="I25" s="29"/>
      <c r="J25" s="30"/>
      <c r="K25" s="28"/>
      <c r="L25" s="31"/>
      <c r="M25" s="29"/>
      <c r="N25" s="28"/>
      <c r="O25" s="32"/>
      <c r="P25" s="33"/>
      <c r="Q25" s="33"/>
    </row>
    <row r="26" spans="2:17" customFormat="1" ht="18.75" customHeight="1" x14ac:dyDescent="0.25">
      <c r="B26" s="28"/>
      <c r="C26" s="29"/>
      <c r="D26" s="30"/>
      <c r="E26" s="29"/>
      <c r="F26" s="29"/>
      <c r="G26" s="29"/>
      <c r="H26" s="34"/>
      <c r="I26" s="29"/>
      <c r="J26" s="30"/>
      <c r="K26" s="28"/>
      <c r="L26" s="31"/>
      <c r="M26" s="29"/>
      <c r="N26" s="28"/>
      <c r="O26" s="32"/>
      <c r="P26" s="33"/>
      <c r="Q26" s="33"/>
    </row>
    <row r="27" spans="2:17" customFormat="1" ht="18.75" customHeight="1" x14ac:dyDescent="0.25">
      <c r="B27" s="28"/>
      <c r="C27" s="29"/>
      <c r="D27" s="30"/>
      <c r="E27" s="29"/>
      <c r="F27" s="29"/>
      <c r="G27" s="29"/>
      <c r="H27" s="34"/>
      <c r="I27" s="29"/>
      <c r="J27" s="30"/>
      <c r="K27" s="28"/>
      <c r="L27" s="31"/>
      <c r="M27" s="29"/>
      <c r="N27" s="28"/>
      <c r="O27" s="32"/>
      <c r="P27" s="33"/>
      <c r="Q27" s="33"/>
    </row>
    <row r="28" spans="2:17" customFormat="1" ht="18.75" customHeight="1" x14ac:dyDescent="0.25">
      <c r="B28" s="28"/>
      <c r="C28" s="29"/>
      <c r="D28" s="30"/>
      <c r="E28" s="29"/>
      <c r="F28" s="29"/>
      <c r="G28" s="29"/>
      <c r="H28" s="34"/>
      <c r="I28" s="29"/>
      <c r="J28" s="30"/>
      <c r="K28" s="28"/>
      <c r="L28" s="31"/>
      <c r="M28" s="29"/>
      <c r="N28" s="28"/>
      <c r="O28" s="35"/>
      <c r="P28" s="31"/>
      <c r="Q28" s="35"/>
    </row>
    <row r="29" spans="2:17" customFormat="1" ht="18.75" customHeight="1" x14ac:dyDescent="0.25">
      <c r="B29" s="28"/>
      <c r="C29" s="29"/>
      <c r="D29" s="30"/>
      <c r="E29" s="29"/>
      <c r="F29" s="29"/>
      <c r="G29" s="29"/>
      <c r="H29" s="34"/>
      <c r="I29" s="29"/>
      <c r="J29" s="30"/>
      <c r="K29" s="28"/>
      <c r="L29" s="31"/>
      <c r="M29" s="29"/>
      <c r="N29" s="28"/>
      <c r="O29" s="35"/>
      <c r="P29" s="31"/>
      <c r="Q29" s="31"/>
    </row>
    <row r="30" spans="2:17" customFormat="1" ht="18.75" customHeight="1" x14ac:dyDescent="0.25">
      <c r="B30" s="28"/>
      <c r="C30" s="29"/>
      <c r="D30" s="30"/>
      <c r="E30" s="29"/>
      <c r="F30" s="29"/>
      <c r="G30" s="29"/>
      <c r="H30" s="34"/>
      <c r="I30" s="29"/>
      <c r="J30" s="30"/>
      <c r="K30" s="28"/>
      <c r="L30" s="31"/>
      <c r="M30" s="29"/>
      <c r="N30" s="28"/>
      <c r="O30" s="35"/>
      <c r="P30" s="31"/>
      <c r="Q30" s="31"/>
    </row>
    <row r="31" spans="2:17" customFormat="1" ht="18.75" customHeight="1" x14ac:dyDescent="0.25">
      <c r="B31" s="28"/>
      <c r="C31" s="29"/>
      <c r="D31" s="30"/>
      <c r="E31" s="29"/>
      <c r="F31" s="29"/>
      <c r="G31" s="29"/>
      <c r="H31" s="34"/>
      <c r="I31" s="29"/>
      <c r="J31" s="30"/>
      <c r="K31" s="28"/>
      <c r="L31" s="31"/>
      <c r="M31" s="29"/>
      <c r="N31" s="28"/>
      <c r="O31" s="35"/>
      <c r="P31" s="31"/>
      <c r="Q31" s="31"/>
    </row>
  </sheetData>
  <sheetProtection algorithmName="SHA-512" hashValue="6pr0cQjMF9UZDX7jjL0zJlV3yAZQnjGY+8rtryjomixQFzh/JjlZaFeHThnejs00rmThufvkjTwhoB2F8c5h2w==" saltValue="O43Mu2hfYZjpQ1/3xhrG3w==" spinCount="100000" sheet="1" objects="1" scenarios="1"/>
  <autoFilter ref="A1:Q31" xr:uid="{00000000-0009-0000-0000-000001000000}"/>
  <printOptions horizontalCentered="1"/>
  <pageMargins left="0.31496062992125984" right="0.19685039370078741" top="0.39370078740157483" bottom="0" header="0" footer="0"/>
  <pageSetup paperSize="9" scale="64" orientation="landscape" horizontalDpi="4294967292" verticalDpi="4294967293" r:id="rId1"/>
  <rowBreaks count="1" manualBreakCount="1">
    <brk id="29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"/>
  <sheetViews>
    <sheetView showRowColHeaders="0" workbookViewId="0">
      <selection activeCell="I12" sqref="I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FOMULÁRIO</vt:lpstr>
      <vt:lpstr>BANCO DE DADOS</vt:lpstr>
      <vt:lpstr>Planilha1</vt:lpstr>
      <vt:lpstr>'BANCO DE DADOS'!Area_de_impressao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cp:lastPrinted>2017-09-18T14:01:56Z</cp:lastPrinted>
  <dcterms:created xsi:type="dcterms:W3CDTF">2017-02-12T18:38:02Z</dcterms:created>
  <dcterms:modified xsi:type="dcterms:W3CDTF">2017-12-12T23:58:25Z</dcterms:modified>
</cp:coreProperties>
</file>