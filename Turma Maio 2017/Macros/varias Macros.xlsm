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io\Desktop\TeachX.git\trunk\Turma Maio 2017\Macros\"/>
    </mc:Choice>
  </mc:AlternateContent>
  <bookViews>
    <workbookView xWindow="0" yWindow="0" windowWidth="20490" windowHeight="7530" activeTab="3"/>
  </bookViews>
  <sheets>
    <sheet name="Planilha1" sheetId="1" r:id="rId1"/>
    <sheet name="Planilha2" sheetId="2" r:id="rId2"/>
    <sheet name="Tela cheia" sheetId="4" r:id="rId3"/>
    <sheet name="Atualiza_Dim" sheetId="3" r:id="rId4"/>
  </sheets>
  <functionGroups builtInGroupCount="18"/>
  <externalReferences>
    <externalReference r:id="rId5"/>
  </externalReferences>
  <calcPr calcId="171027"/>
  <pivotCaches>
    <pivotCache cacheId="437" r:id="rId6"/>
  </pivotCaches>
</workbook>
</file>

<file path=xl/calcChain.xml><?xml version="1.0" encoding="utf-8"?>
<calcChain xmlns="http://schemas.openxmlformats.org/spreadsheetml/2006/main">
  <c r="B8" i="2" l="1"/>
  <c r="F14" i="1"/>
  <c r="F10" i="1"/>
  <c r="F4" i="1"/>
  <c r="F23" i="1"/>
  <c r="F7" i="1"/>
  <c r="F5" i="1"/>
  <c r="G7" i="2"/>
  <c r="H7" i="2"/>
  <c r="G8" i="2"/>
  <c r="H8" i="2"/>
  <c r="G9" i="2"/>
  <c r="H9" i="2"/>
  <c r="G10" i="2"/>
  <c r="H10" i="2"/>
  <c r="G6" i="2"/>
  <c r="H6" i="2"/>
  <c r="E4" i="2"/>
  <c r="I10" i="1"/>
</calcChain>
</file>

<file path=xl/sharedStrings.xml><?xml version="1.0" encoding="utf-8"?>
<sst xmlns="http://schemas.openxmlformats.org/spreadsheetml/2006/main" count="49" uniqueCount="20">
  <si>
    <t>joao maria jose antonio</t>
  </si>
  <si>
    <t>marcio</t>
  </si>
  <si>
    <t>jose</t>
  </si>
  <si>
    <t>antorio</t>
  </si>
  <si>
    <t>amarelo</t>
  </si>
  <si>
    <t>marcio aula excel</t>
  </si>
  <si>
    <t>Cargo</t>
  </si>
  <si>
    <t>Cidade</t>
  </si>
  <si>
    <t>Loja</t>
  </si>
  <si>
    <t>Consultor de Compras</t>
  </si>
  <si>
    <t>Barra Bonita</t>
  </si>
  <si>
    <t>Blumenau</t>
  </si>
  <si>
    <t>São Paulo</t>
  </si>
  <si>
    <t>Produtor de Eventos</t>
  </si>
  <si>
    <t>Total Geral</t>
  </si>
  <si>
    <t>Barra Bonita Total</t>
  </si>
  <si>
    <t>Blumenau Total</t>
  </si>
  <si>
    <t>São Paulo Total</t>
  </si>
  <si>
    <t>Soma de Loja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</si>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</sst>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9"/>
      </top>
      <bottom/>
      <diagonal/>
    </border>
    <border>
      <left style="thin">
        <color indexed="9"/>
      </left>
      <right/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1" xfId="0" pivotButton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7" xfId="0" applyNumberFormat="1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microsoftexcel.com.br/index.php/excel-formulas-e-funcoes/226-excel-formulas-funcoes-personalizadas.html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9525</xdr:rowOff>
    </xdr:from>
    <xdr:to>
      <xdr:col>3</xdr:col>
      <xdr:colOff>361950</xdr:colOff>
      <xdr:row>3</xdr:row>
      <xdr:rowOff>123825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F329C6-FF14-4820-8FF1-155A981D5071}"/>
            </a:ext>
          </a:extLst>
        </xdr:cNvPr>
        <xdr:cNvSpPr/>
      </xdr:nvSpPr>
      <xdr:spPr>
        <a:xfrm>
          <a:off x="285750" y="200025"/>
          <a:ext cx="1905000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Botão</a:t>
          </a:r>
          <a:r>
            <a:rPr lang="pt-BR" sz="1100" baseline="0"/>
            <a:t> Artigo</a:t>
          </a:r>
          <a:endParaRPr lang="pt-BR" sz="1100"/>
        </a:p>
      </xdr:txBody>
    </xdr:sp>
    <xdr:clientData/>
  </xdr:twoCellAnchor>
  <xdr:twoCellAnchor editAs="oneCell">
    <xdr:from>
      <xdr:col>4</xdr:col>
      <xdr:colOff>0</xdr:colOff>
      <xdr:row>0</xdr:row>
      <xdr:rowOff>152400</xdr:rowOff>
    </xdr:from>
    <xdr:to>
      <xdr:col>4</xdr:col>
      <xdr:colOff>609600</xdr:colOff>
      <xdr:row>4</xdr:row>
      <xdr:rowOff>0</xdr:rowOff>
    </xdr:to>
    <xdr:pic>
      <xdr:nvPicPr>
        <xdr:cNvPr id="1044" name="Gráfico 3" descr="Dedo Indicador Apontando para a Direita">
          <a:extLst>
            <a:ext uri="{FF2B5EF4-FFF2-40B4-BE49-F238E27FC236}">
              <a16:creationId xmlns:a16="http://schemas.microsoft.com/office/drawing/2014/main" id="{715EED41-917E-4DA0-893B-A0866AE74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400"/>
          <a:ext cx="6096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590550</xdr:colOff>
      <xdr:row>23</xdr:row>
      <xdr:rowOff>0</xdr:rowOff>
    </xdr:to>
    <xdr:pic>
      <xdr:nvPicPr>
        <xdr:cNvPr id="4113" name="Imagem 1" descr="Resultado de imagem para dashboard">
          <a:extLst>
            <a:ext uri="{FF2B5EF4-FFF2-40B4-BE49-F238E27FC236}">
              <a16:creationId xmlns:a16="http://schemas.microsoft.com/office/drawing/2014/main" id="{EC502CCE-DE54-4B31-BC11-0774C691C7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905750" cy="438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85725</xdr:colOff>
      <xdr:row>4</xdr:row>
      <xdr:rowOff>104775</xdr:rowOff>
    </xdr:from>
    <xdr:to>
      <xdr:col>13</xdr:col>
      <xdr:colOff>523875</xdr:colOff>
      <xdr:row>6</xdr:row>
      <xdr:rowOff>180975</xdr:rowOff>
    </xdr:to>
    <xdr:grpSp>
      <xdr:nvGrpSpPr>
        <xdr:cNvPr id="4114" name="Grupo 13">
          <a:extLst>
            <a:ext uri="{FF2B5EF4-FFF2-40B4-BE49-F238E27FC236}">
              <a16:creationId xmlns:a16="http://schemas.microsoft.com/office/drawing/2014/main" id="{1BFF8B58-1CCE-40F2-9D37-44A0BF25CB7A}"/>
            </a:ext>
          </a:extLst>
        </xdr:cNvPr>
        <xdr:cNvGrpSpPr>
          <a:grpSpLocks/>
        </xdr:cNvGrpSpPr>
      </xdr:nvGrpSpPr>
      <xdr:grpSpPr bwMode="auto">
        <a:xfrm>
          <a:off x="8010525" y="866775"/>
          <a:ext cx="438150" cy="457200"/>
          <a:chOff x="6032350" y="1445601"/>
          <a:chExt cx="1271123" cy="1329319"/>
        </a:xfrm>
      </xdr:grpSpPr>
      <xdr:sp macro="[1]!Grupo13_Clique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5B736CEC-CACC-4E5F-953A-014837C99B8E}"/>
              </a:ext>
            </a:extLst>
          </xdr:cNvPr>
          <xdr:cNvSpPr/>
        </xdr:nvSpPr>
        <xdr:spPr>
          <a:xfrm>
            <a:off x="6032350" y="1445601"/>
            <a:ext cx="1271123" cy="1329319"/>
          </a:xfrm>
          <a:prstGeom prst="rect">
            <a:avLst/>
          </a:prstGeom>
          <a:solidFill>
            <a:schemeClr val="accent3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pt-BR"/>
          </a:p>
        </xdr:txBody>
      </xdr:sp>
      <xdr:grpSp>
        <xdr:nvGrpSpPr>
          <xdr:cNvPr id="4123" name="Grupo 15">
            <a:extLst>
              <a:ext uri="{FF2B5EF4-FFF2-40B4-BE49-F238E27FC236}">
                <a16:creationId xmlns:a16="http://schemas.microsoft.com/office/drawing/2014/main" id="{1A503362-1225-4D6D-97D9-E6CBBAAE342E}"/>
              </a:ext>
            </a:extLst>
          </xdr:cNvPr>
          <xdr:cNvGrpSpPr>
            <a:grpSpLocks/>
          </xdr:cNvGrpSpPr>
        </xdr:nvGrpSpPr>
        <xdr:grpSpPr bwMode="auto">
          <a:xfrm>
            <a:off x="6321523" y="1522535"/>
            <a:ext cx="879065" cy="1252385"/>
            <a:chOff x="5898652" y="1601560"/>
            <a:chExt cx="879065" cy="1269133"/>
          </a:xfrm>
        </xdr:grpSpPr>
        <xdr:grpSp>
          <xdr:nvGrpSpPr>
            <xdr:cNvPr id="4124" name="Grupo 16">
              <a:extLst>
                <a:ext uri="{FF2B5EF4-FFF2-40B4-BE49-F238E27FC236}">
                  <a16:creationId xmlns:a16="http://schemas.microsoft.com/office/drawing/2014/main" id="{F4EE1EFF-2FE3-4BDE-A07F-D4B124BBDBDF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898652" y="1601560"/>
              <a:ext cx="879065" cy="1269133"/>
              <a:chOff x="5016910" y="1619249"/>
              <a:chExt cx="879065" cy="1258247"/>
            </a:xfrm>
          </xdr:grpSpPr>
          <xdr:sp macro="[1]!Grupo13_Clique" textlink="">
            <xdr:nvSpPr>
              <xdr:cNvPr id="22" name="Rosca 18">
                <a:extLst>
                  <a:ext uri="{FF2B5EF4-FFF2-40B4-BE49-F238E27FC236}">
                    <a16:creationId xmlns:a16="http://schemas.microsoft.com/office/drawing/2014/main" id="{13A78C47-E5BC-49F9-B9D4-59AB6E0075F9}"/>
                  </a:ext>
                </a:extLst>
              </xdr:cNvPr>
              <xdr:cNvSpPr/>
            </xdr:nvSpPr>
            <xdr:spPr>
              <a:xfrm>
                <a:off x="5142233" y="1625427"/>
                <a:ext cx="746095" cy="751241"/>
              </a:xfrm>
              <a:prstGeom prst="donut">
                <a:avLst>
                  <a:gd name="adj" fmla="val 15476"/>
                </a:avLst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pt-BR"/>
              </a:p>
            </xdr:txBody>
          </xdr:sp>
          <xdr:sp macro="[1]!Grupo13_Clique" textlink="">
            <xdr:nvSpPr>
              <xdr:cNvPr id="23" name="Retângulo 22">
                <a:extLst>
                  <a:ext uri="{FF2B5EF4-FFF2-40B4-BE49-F238E27FC236}">
                    <a16:creationId xmlns:a16="http://schemas.microsoft.com/office/drawing/2014/main" id="{C5F481C0-CC3C-4975-961B-9A4D3C424207}"/>
                  </a:ext>
                </a:extLst>
              </xdr:cNvPr>
              <xdr:cNvSpPr/>
            </xdr:nvSpPr>
            <xdr:spPr>
              <a:xfrm rot="2442497">
                <a:off x="5004067" y="2154078"/>
                <a:ext cx="138166" cy="723418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pt-BR"/>
              </a:p>
            </xdr:txBody>
          </xdr:sp>
        </xdr:grpSp>
        <xdr:sp macro="[1]!Grupo13_Clique" textlink="">
          <xdr:nvSpPr>
            <xdr:cNvPr id="21" name="Menos 17">
              <a:extLst>
                <a:ext uri="{FF2B5EF4-FFF2-40B4-BE49-F238E27FC236}">
                  <a16:creationId xmlns:a16="http://schemas.microsoft.com/office/drawing/2014/main" id="{61567DCF-EABF-4CFC-A44C-8F8B61C0261A}"/>
                </a:ext>
              </a:extLst>
            </xdr:cNvPr>
            <xdr:cNvSpPr/>
          </xdr:nvSpPr>
          <xdr:spPr>
            <a:xfrm>
              <a:off x="6272673" y="1804243"/>
              <a:ext cx="331598" cy="252580"/>
            </a:xfrm>
            <a:prstGeom prst="mathMinus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pt-BR"/>
            </a:p>
          </xdr:txBody>
        </xdr:sp>
      </xdr:grpSp>
    </xdr:grpSp>
    <xdr:clientData/>
  </xdr:twoCellAnchor>
  <xdr:twoCellAnchor>
    <xdr:from>
      <xdr:col>13</xdr:col>
      <xdr:colOff>85725</xdr:colOff>
      <xdr:row>1</xdr:row>
      <xdr:rowOff>123825</xdr:rowOff>
    </xdr:from>
    <xdr:to>
      <xdr:col>13</xdr:col>
      <xdr:colOff>523875</xdr:colOff>
      <xdr:row>3</xdr:row>
      <xdr:rowOff>171450</xdr:rowOff>
    </xdr:to>
    <xdr:grpSp>
      <xdr:nvGrpSpPr>
        <xdr:cNvPr id="4115" name="Grupo 20">
          <a:extLst>
            <a:ext uri="{FF2B5EF4-FFF2-40B4-BE49-F238E27FC236}">
              <a16:creationId xmlns:a16="http://schemas.microsoft.com/office/drawing/2014/main" id="{4D1BEE16-2D4F-4B8A-9791-58966CA255AD}"/>
            </a:ext>
          </a:extLst>
        </xdr:cNvPr>
        <xdr:cNvGrpSpPr>
          <a:grpSpLocks/>
        </xdr:cNvGrpSpPr>
      </xdr:nvGrpSpPr>
      <xdr:grpSpPr bwMode="auto">
        <a:xfrm>
          <a:off x="8010525" y="314325"/>
          <a:ext cx="438150" cy="428625"/>
          <a:chOff x="4736954" y="1439740"/>
          <a:chExt cx="1271123" cy="1329318"/>
        </a:xfrm>
      </xdr:grpSpPr>
      <xdr:sp macro="[1]!Grupo20_Clique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9BF70841-9C54-499C-A861-B2EE3485F8CB}"/>
              </a:ext>
            </a:extLst>
          </xdr:cNvPr>
          <xdr:cNvSpPr/>
        </xdr:nvSpPr>
        <xdr:spPr>
          <a:xfrm>
            <a:off x="4736954" y="1439740"/>
            <a:ext cx="1271123" cy="1329318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pt-BR"/>
          </a:p>
        </xdr:txBody>
      </xdr:sp>
      <xdr:grpSp>
        <xdr:nvGrpSpPr>
          <xdr:cNvPr id="4117" name="Grupo 22">
            <a:extLst>
              <a:ext uri="{FF2B5EF4-FFF2-40B4-BE49-F238E27FC236}">
                <a16:creationId xmlns:a16="http://schemas.microsoft.com/office/drawing/2014/main" id="{BD395D67-3B4B-43A5-B965-8742582CCAED}"/>
              </a:ext>
            </a:extLst>
          </xdr:cNvPr>
          <xdr:cNvGrpSpPr>
            <a:grpSpLocks/>
          </xdr:cNvGrpSpPr>
        </xdr:nvGrpSpPr>
        <xdr:grpSpPr bwMode="auto">
          <a:xfrm>
            <a:off x="5012512" y="1516673"/>
            <a:ext cx="879065" cy="1252385"/>
            <a:chOff x="4991056" y="1564820"/>
            <a:chExt cx="879065" cy="1269133"/>
          </a:xfrm>
        </xdr:grpSpPr>
        <xdr:grpSp>
          <xdr:nvGrpSpPr>
            <xdr:cNvPr id="4118" name="Grupo 23">
              <a:extLst>
                <a:ext uri="{FF2B5EF4-FFF2-40B4-BE49-F238E27FC236}">
                  <a16:creationId xmlns:a16="http://schemas.microsoft.com/office/drawing/2014/main" id="{8E048871-530B-48B0-A558-36ED2C0F6B2A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991056" y="1564820"/>
              <a:ext cx="879065" cy="1269133"/>
              <a:chOff x="5016910" y="1619249"/>
              <a:chExt cx="879065" cy="1258247"/>
            </a:xfrm>
          </xdr:grpSpPr>
          <xdr:sp macro="[1]!Grupo20_Clique" textlink="">
            <xdr:nvSpPr>
              <xdr:cNvPr id="29" name="Rosca 25">
                <a:extLst>
                  <a:ext uri="{FF2B5EF4-FFF2-40B4-BE49-F238E27FC236}">
                    <a16:creationId xmlns:a16="http://schemas.microsoft.com/office/drawing/2014/main" id="{3E1171C1-A7F3-4996-83CD-0B697742F6FE}"/>
                  </a:ext>
                </a:extLst>
              </xdr:cNvPr>
              <xdr:cNvSpPr/>
            </xdr:nvSpPr>
            <xdr:spPr>
              <a:xfrm>
                <a:off x="5155847" y="1630993"/>
                <a:ext cx="746095" cy="741966"/>
              </a:xfrm>
              <a:prstGeom prst="donut">
                <a:avLst>
                  <a:gd name="adj" fmla="val 15476"/>
                </a:avLst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pt-BR"/>
              </a:p>
            </xdr:txBody>
          </xdr:sp>
          <xdr:sp macro="[1]!Grupo20_Clique" textlink="">
            <xdr:nvSpPr>
              <xdr:cNvPr id="30" name="Retângulo 29">
                <a:extLst>
                  <a:ext uri="{FF2B5EF4-FFF2-40B4-BE49-F238E27FC236}">
                    <a16:creationId xmlns:a16="http://schemas.microsoft.com/office/drawing/2014/main" id="{E3E09823-1461-410E-813F-F364DDF89DD7}"/>
                  </a:ext>
                </a:extLst>
              </xdr:cNvPr>
              <xdr:cNvSpPr/>
            </xdr:nvSpPr>
            <xdr:spPr>
              <a:xfrm rot="2442497">
                <a:off x="5017682" y="2165208"/>
                <a:ext cx="138166" cy="712288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pt-BR"/>
              </a:p>
            </xdr:txBody>
          </xdr:sp>
        </xdr:grpSp>
        <xdr:sp macro="[1]!Grupo20_Clique" textlink="">
          <xdr:nvSpPr>
            <xdr:cNvPr id="28" name="Mais 24">
              <a:extLst>
                <a:ext uri="{FF2B5EF4-FFF2-40B4-BE49-F238E27FC236}">
                  <a16:creationId xmlns:a16="http://schemas.microsoft.com/office/drawing/2014/main" id="{AC44C084-7355-43B0-87FB-5BBE4DAD544E}"/>
                </a:ext>
              </a:extLst>
            </xdr:cNvPr>
            <xdr:cNvSpPr/>
          </xdr:nvSpPr>
          <xdr:spPr>
            <a:xfrm>
              <a:off x="5351059" y="1726342"/>
              <a:ext cx="359231" cy="389160"/>
            </a:xfrm>
            <a:prstGeom prst="mathPlus">
              <a:avLst>
                <a:gd name="adj1" fmla="val 11544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pt-BR"/>
            </a:p>
          </xdr:txBody>
        </xdr: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cio/Desktop/projetosgescontrol/trunk/Lofty%20Style/Processo%20Vendas%20Externas%20BH/Apura&#231;&#227;o%202%20vendas%20fim%202015/Apura&#231;&#227;o%20Vendas%20Externas%20BH%20V3%20analise%20marc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 Venda S Kardex e S Financ"/>
      <sheetName val="Plan1"/>
      <sheetName val="Vendas"/>
      <sheetName val="Agrupa Cheques"/>
      <sheetName val="Controla Cheques"/>
      <sheetName val="Apuração Resultado"/>
      <sheetName val="Quantidade Recebida x Vendida"/>
      <sheetName val="Dados"/>
      <sheetName val="Rateia Lucro"/>
    </sheetNames>
    <definedNames>
      <definedName name="Grupo13_Clique"/>
      <definedName name="Grupo20_Cliqu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io Rosa" refreshedDate="42944.669607986114" createdVersion="1" refreshedVersion="4" recordCount="9" upgradeOnRefresh="1">
  <cacheSource type="worksheet">
    <worksheetSource ref="A1:C10" sheet="Atualiza_Dim"/>
  </cacheSource>
  <cacheFields count="3">
    <cacheField name="Cargo" numFmtId="0">
      <sharedItems count="2">
        <s v="Consultor de Compras"/>
        <s v="Produtor de Eventos"/>
      </sharedItems>
    </cacheField>
    <cacheField name="Cidade" numFmtId="0">
      <sharedItems count="3">
        <s v="Barra Bonita"/>
        <s v="Blumenau"/>
        <s v="São Paulo"/>
      </sharedItems>
    </cacheField>
    <cacheField name="Loja" numFmtId="0">
      <sharedItems containsSemiMixedTypes="0" containsString="0" containsNumber="1" containsInteger="1" minValue="1" maxValue="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0"/>
    <x v="0"/>
    <n v="1"/>
  </r>
  <r>
    <x v="0"/>
    <x v="1"/>
    <n v="2"/>
  </r>
  <r>
    <x v="0"/>
    <x v="2"/>
    <n v="3"/>
  </r>
  <r>
    <x v="0"/>
    <x v="2"/>
    <n v="2"/>
  </r>
  <r>
    <x v="0"/>
    <x v="2"/>
    <n v="1"/>
  </r>
  <r>
    <x v="1"/>
    <x v="0"/>
    <n v="2"/>
  </r>
  <r>
    <x v="1"/>
    <x v="0"/>
    <n v="2"/>
  </r>
  <r>
    <x v="1"/>
    <x v="0"/>
    <n v="11"/>
  </r>
  <r>
    <x v="1"/>
    <x v="1"/>
    <n v="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B_TESTE" cacheId="437" dataOnRows="1" applyNumberFormats="0" applyBorderFormats="0" applyFontFormats="0" applyPatternFormats="0" applyAlignmentFormats="0" applyWidthHeightFormats="1" dataCaption="Dados" updatedVersion="6" showMemberPropertyTips="0" useAutoFormatting="1" itemPrintTitles="1" createdVersion="1" indent="0" compact="0" compactData="0" gridDropZones="1">
  <location ref="I1:K11" firstHeaderRow="2" firstDataRow="2" firstDataCol="2"/>
  <pivotFields count="3">
    <pivotField axis="axisRow" compact="0" outline="0" subtotalTop="0" showAll="0" includeNewItemsInFilter="1">
      <items count="3">
        <item x="0"/>
        <item x="1"/>
        <item t="default"/>
      </items>
    </pivotField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dataField="1" compact="0" outline="0" subtotalTop="0" showAll="0" includeNewItemsInFilter="1"/>
  </pivotFields>
  <rowFields count="2">
    <field x="1"/>
    <field x="0"/>
  </rowFields>
  <rowItems count="9">
    <i>
      <x/>
      <x/>
    </i>
    <i r="1">
      <x v="1"/>
    </i>
    <i t="default">
      <x/>
    </i>
    <i>
      <x v="1"/>
      <x/>
    </i>
    <i r="1">
      <x v="1"/>
    </i>
    <i t="default">
      <x v="1"/>
    </i>
    <i>
      <x v="2"/>
      <x/>
    </i>
    <i t="default">
      <x v="2"/>
    </i>
    <i t="grand">
      <x/>
    </i>
  </rowItems>
  <colItems count="1">
    <i/>
  </colItems>
  <dataFields count="1">
    <dataField name="Soma de Loja" fld="2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E4:I23"/>
  <sheetViews>
    <sheetView workbookViewId="0">
      <selection activeCell="N3" sqref="N3"/>
    </sheetView>
  </sheetViews>
  <sheetFormatPr defaultRowHeight="15" x14ac:dyDescent="0.25"/>
  <cols>
    <col min="5" max="5" width="10.7109375" bestFit="1" customWidth="1"/>
  </cols>
  <sheetData>
    <row r="4" spans="5:9" x14ac:dyDescent="0.25">
      <c r="E4">
        <v>3</v>
      </c>
      <c r="F4">
        <f>cuboo(E4)</f>
        <v>27</v>
      </c>
    </row>
    <row r="5" spans="5:9" x14ac:dyDescent="0.25">
      <c r="E5" s="1">
        <v>31521</v>
      </c>
      <c r="F5">
        <f>idade(E5)</f>
        <v>31</v>
      </c>
    </row>
    <row r="7" spans="5:9" x14ac:dyDescent="0.25">
      <c r="F7">
        <f>idade(E5)</f>
        <v>31</v>
      </c>
    </row>
    <row r="10" spans="5:9" x14ac:dyDescent="0.25">
      <c r="E10" t="s">
        <v>0</v>
      </c>
      <c r="F10" t="str">
        <f>TextoRevertido(E10)</f>
        <v>oinotna esoj airam oaoj</v>
      </c>
      <c r="I10">
        <f ca="1">CONTCARACT(E10,"a",FALSE)</f>
        <v>4</v>
      </c>
    </row>
    <row r="14" spans="5:9" x14ac:dyDescent="0.25">
      <c r="E14" t="s">
        <v>1</v>
      </c>
      <c r="F14">
        <f>CONTARPALAVRAS(E14:E19,"marcio")</f>
        <v>3</v>
      </c>
    </row>
    <row r="15" spans="5:9" x14ac:dyDescent="0.25">
      <c r="E15" t="s">
        <v>2</v>
      </c>
    </row>
    <row r="16" spans="5:9" x14ac:dyDescent="0.25">
      <c r="E16" t="s">
        <v>1</v>
      </c>
    </row>
    <row r="17" spans="5:6" x14ac:dyDescent="0.25">
      <c r="E17" t="s">
        <v>3</v>
      </c>
    </row>
    <row r="18" spans="5:6" x14ac:dyDescent="0.25">
      <c r="E18" t="s">
        <v>4</v>
      </c>
    </row>
    <row r="19" spans="5:6" x14ac:dyDescent="0.25">
      <c r="E19" t="s">
        <v>1</v>
      </c>
    </row>
    <row r="23" spans="5:6" x14ac:dyDescent="0.25">
      <c r="E23">
        <v>40</v>
      </c>
      <c r="F23" t="str">
        <f>StatusNotaV2(E23)</f>
        <v>estado de alerta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4:H10"/>
  <sheetViews>
    <sheetView zoomScale="150" zoomScaleNormal="150" workbookViewId="0">
      <selection activeCell="A9" sqref="A9"/>
    </sheetView>
  </sheetViews>
  <sheetFormatPr defaultRowHeight="15" x14ac:dyDescent="0.25"/>
  <cols>
    <col min="2" max="2" width="14.140625" bestFit="1" customWidth="1"/>
    <col min="5" max="5" width="16.42578125" bestFit="1" customWidth="1"/>
    <col min="6" max="6" width="3.85546875" customWidth="1"/>
    <col min="7" max="7" width="16.42578125" bestFit="1" customWidth="1"/>
  </cols>
  <sheetData>
    <row r="4" spans="1:8" x14ac:dyDescent="0.25">
      <c r="E4">
        <f>idade(12/19/1986)</f>
        <v>117</v>
      </c>
    </row>
    <row r="6" spans="1:8" x14ac:dyDescent="0.25">
      <c r="E6" t="s">
        <v>5</v>
      </c>
      <c r="G6" t="str">
        <f>TextoRevertido(E6)</f>
        <v>lecxe alua oicram</v>
      </c>
      <c r="H6" t="str">
        <f>TextoRevertido(LEFT(G6,FIND(" ",G6,1)))</f>
        <v xml:space="preserve"> excel</v>
      </c>
    </row>
    <row r="7" spans="1:8" x14ac:dyDescent="0.25">
      <c r="E7" t="s">
        <v>5</v>
      </c>
      <c r="G7" t="str">
        <f>TextoRevertido(E7)</f>
        <v>lecxe alua oicram</v>
      </c>
      <c r="H7" t="str">
        <f>TextoRevertido(LEFT(G7,FIND(" ",G7,1)))</f>
        <v xml:space="preserve"> excel</v>
      </c>
    </row>
    <row r="8" spans="1:8" x14ac:dyDescent="0.25">
      <c r="A8">
        <v>50</v>
      </c>
      <c r="B8" t="str">
        <f>StatusNotaV2(A8)</f>
        <v>sob monitoramento</v>
      </c>
      <c r="E8" t="s">
        <v>5</v>
      </c>
      <c r="G8" t="str">
        <f>TextoRevertido(E8)</f>
        <v>lecxe alua oicram</v>
      </c>
      <c r="H8" t="str">
        <f>TextoRevertido(LEFT(G8,FIND(" ",G8,1)))</f>
        <v xml:space="preserve"> excel</v>
      </c>
    </row>
    <row r="9" spans="1:8" x14ac:dyDescent="0.25">
      <c r="E9" t="s">
        <v>5</v>
      </c>
      <c r="G9" t="str">
        <f>TextoRevertido(E9)</f>
        <v>lecxe alua oicram</v>
      </c>
      <c r="H9" t="str">
        <f>TextoRevertido(LEFT(G9,FIND(" ",G9,1)))</f>
        <v xml:space="preserve"> excel</v>
      </c>
    </row>
    <row r="10" spans="1:8" x14ac:dyDescent="0.25">
      <c r="E10" t="s">
        <v>5</v>
      </c>
      <c r="G10" t="str">
        <f>TextoRevertido(E10)</f>
        <v>lecxe alua oicram</v>
      </c>
      <c r="H10" t="str">
        <f>TextoRevertido(LEFT(G10,FIND(" ",G10,1)))</f>
        <v xml:space="preserve"> excel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"/>
  <sheetViews>
    <sheetView showGridLines="0" workbookViewId="0">
      <selection activeCell="P7" sqref="P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11"/>
  <sheetViews>
    <sheetView tabSelected="1" workbookViewId="0">
      <selection activeCell="C11" sqref="C11"/>
    </sheetView>
  </sheetViews>
  <sheetFormatPr defaultRowHeight="15" x14ac:dyDescent="0.25"/>
  <cols>
    <col min="1" max="1" width="20.7109375" bestFit="1" customWidth="1"/>
    <col min="2" max="2" width="11.7109375" bestFit="1" customWidth="1"/>
    <col min="3" max="3" width="17.5703125" bestFit="1" customWidth="1"/>
    <col min="5" max="8" width="3.85546875" customWidth="1"/>
    <col min="9" max="10" width="20.7109375" bestFit="1" customWidth="1"/>
    <col min="11" max="11" width="5.42578125" bestFit="1" customWidth="1"/>
  </cols>
  <sheetData>
    <row r="1" spans="1:11" x14ac:dyDescent="0.25">
      <c r="A1" t="s">
        <v>6</v>
      </c>
      <c r="B1" t="s">
        <v>7</v>
      </c>
      <c r="C1" t="s">
        <v>8</v>
      </c>
      <c r="I1" s="4" t="s">
        <v>18</v>
      </c>
      <c r="J1" s="3"/>
      <c r="K1" s="7"/>
    </row>
    <row r="2" spans="1:11" x14ac:dyDescent="0.25">
      <c r="A2" t="s">
        <v>9</v>
      </c>
      <c r="B2" t="s">
        <v>10</v>
      </c>
      <c r="C2">
        <v>1</v>
      </c>
      <c r="I2" s="4" t="s">
        <v>7</v>
      </c>
      <c r="J2" s="4" t="s">
        <v>6</v>
      </c>
      <c r="K2" s="7" t="s">
        <v>19</v>
      </c>
    </row>
    <row r="3" spans="1:11" x14ac:dyDescent="0.25">
      <c r="A3" t="s">
        <v>9</v>
      </c>
      <c r="B3" t="s">
        <v>11</v>
      </c>
      <c r="C3">
        <v>2</v>
      </c>
      <c r="I3" s="2" t="s">
        <v>10</v>
      </c>
      <c r="J3" s="2" t="s">
        <v>9</v>
      </c>
      <c r="K3" s="8">
        <v>1</v>
      </c>
    </row>
    <row r="4" spans="1:11" x14ac:dyDescent="0.25">
      <c r="A4" t="s">
        <v>9</v>
      </c>
      <c r="B4" t="s">
        <v>12</v>
      </c>
      <c r="C4">
        <v>3</v>
      </c>
      <c r="I4" s="11"/>
      <c r="J4" s="5" t="s">
        <v>13</v>
      </c>
      <c r="K4" s="9">
        <v>15</v>
      </c>
    </row>
    <row r="5" spans="1:11" x14ac:dyDescent="0.25">
      <c r="A5" t="s">
        <v>9</v>
      </c>
      <c r="B5" t="s">
        <v>12</v>
      </c>
      <c r="C5">
        <v>2</v>
      </c>
      <c r="I5" s="2" t="s">
        <v>15</v>
      </c>
      <c r="J5" s="3"/>
      <c r="K5" s="8">
        <v>16</v>
      </c>
    </row>
    <row r="6" spans="1:11" x14ac:dyDescent="0.25">
      <c r="A6" t="s">
        <v>9</v>
      </c>
      <c r="B6" t="s">
        <v>12</v>
      </c>
      <c r="C6">
        <v>1</v>
      </c>
      <c r="I6" s="2" t="s">
        <v>11</v>
      </c>
      <c r="J6" s="2" t="s">
        <v>9</v>
      </c>
      <c r="K6" s="8">
        <v>2</v>
      </c>
    </row>
    <row r="7" spans="1:11" x14ac:dyDescent="0.25">
      <c r="A7" t="s">
        <v>13</v>
      </c>
      <c r="B7" t="s">
        <v>10</v>
      </c>
      <c r="C7">
        <v>2</v>
      </c>
      <c r="I7" s="11"/>
      <c r="J7" s="5" t="s">
        <v>13</v>
      </c>
      <c r="K7" s="9">
        <v>53</v>
      </c>
    </row>
    <row r="8" spans="1:11" x14ac:dyDescent="0.25">
      <c r="A8" t="s">
        <v>13</v>
      </c>
      <c r="B8" t="s">
        <v>10</v>
      </c>
      <c r="C8">
        <v>2</v>
      </c>
      <c r="I8" s="2" t="s">
        <v>16</v>
      </c>
      <c r="J8" s="3"/>
      <c r="K8" s="8">
        <v>55</v>
      </c>
    </row>
    <row r="9" spans="1:11" x14ac:dyDescent="0.25">
      <c r="A9" t="s">
        <v>13</v>
      </c>
      <c r="B9" t="s">
        <v>10</v>
      </c>
      <c r="C9">
        <v>11</v>
      </c>
      <c r="I9" s="2" t="s">
        <v>12</v>
      </c>
      <c r="J9" s="2" t="s">
        <v>9</v>
      </c>
      <c r="K9" s="8">
        <v>6</v>
      </c>
    </row>
    <row r="10" spans="1:11" x14ac:dyDescent="0.25">
      <c r="A10" t="s">
        <v>13</v>
      </c>
      <c r="B10" t="s">
        <v>11</v>
      </c>
      <c r="C10">
        <v>53</v>
      </c>
      <c r="I10" s="2" t="s">
        <v>17</v>
      </c>
      <c r="J10" s="3"/>
      <c r="K10" s="8">
        <v>6</v>
      </c>
    </row>
    <row r="11" spans="1:11" x14ac:dyDescent="0.25">
      <c r="I11" s="6" t="s">
        <v>14</v>
      </c>
      <c r="J11" s="12"/>
      <c r="K11" s="10">
        <v>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Planilha1</vt:lpstr>
      <vt:lpstr>Planilha2</vt:lpstr>
      <vt:lpstr>Tela cheia</vt:lpstr>
      <vt:lpstr>Atualiza_Dim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Rosa</dc:creator>
  <cp:lastModifiedBy>Marcio Rosa</cp:lastModifiedBy>
  <dcterms:created xsi:type="dcterms:W3CDTF">2017-04-26T01:22:56Z</dcterms:created>
  <dcterms:modified xsi:type="dcterms:W3CDTF">2017-07-28T19:04:54Z</dcterms:modified>
</cp:coreProperties>
</file>